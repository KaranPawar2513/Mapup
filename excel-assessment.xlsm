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karan\Downloads\"/>
    </mc:Choice>
  </mc:AlternateContent>
  <bookViews>
    <workbookView xWindow="0" yWindow="0" windowWidth="16815" windowHeight="9045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F30" i="18" l="1"/>
  <c r="E30" i="18"/>
  <c r="D30" i="18"/>
  <c r="C30" i="18"/>
  <c r="F29" i="18"/>
  <c r="E29" i="18"/>
  <c r="D29" i="18"/>
  <c r="C29" i="18"/>
  <c r="C28" i="18"/>
  <c r="D28" i="18"/>
  <c r="E28" i="18"/>
  <c r="F28" i="18"/>
  <c r="B28" i="18"/>
  <c r="B29" i="18"/>
  <c r="B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<sst xmlns="http://schemas.openxmlformats.org/spreadsheetml/2006/main" count="409" uniqueCount="183">
  <si>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</si>
  <si>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</si>
  <si>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</si>
  <si>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</si>
  <si>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</si>
  <si>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</si>
  <si>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</si>
  <si>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</si>
  <si>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</si>
  <si>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</si>
  <si>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</si>
  <si>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</si>
  <si>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</si>
  <si>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</si>
  <si>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</si>
  <si>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</si>
  <si>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</si>
  <si>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</si>
  <si>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</si>
  <si>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</si>
  <si>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</si>
  <si>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</si>
  <si>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</si>
  <si>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</si>
  <si>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</si>
  <si>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</si>
  <si>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</si>
  <si>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</si>
  <si>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</si>
  <si>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</si>
  <si>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</si>
  <si>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</si>
  <si>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</si>
  <si>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</si>
  <si>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</si>
  <si>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</si>
  <si>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</si>
  <si>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</si>
  <si>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</si>
  <si>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</si>
  <si>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</si>
  <si>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</si>
  <si>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</si>
  <si>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</si>
  <si>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</si>
  <si>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</si>
  <si>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</si>
  <si>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</si>
  <si>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</si>
  <si>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</si>
  <si>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</si>
  <si>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</si>
  <si>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</si>
  <si>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</si>
  <si>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</si>
  <si>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</si>
  <si>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</si>
  <si>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</si>
  <si>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</si>
  <si>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</si>
  <si>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</si>
  <si>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</si>
  <si>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</si>
  <si>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</si>
  <si>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</si>
  <si>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</si>
  <si>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</si>
  <si>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</si>
  <si>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</si>
  <si>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</si>
  <si>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</si>
  <si>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</si>
  <si>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</si>
  <si>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</si>
  <si>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</si>
  <si>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</si>
  <si>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</si>
  <si>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</si>
  <si>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</si>
  <si>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</si>
  <si>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</si>
  <si>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</si>
  <si>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</si>
  <si>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</si>
  <si>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</si>
  <si>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</si>
  <si>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</si>
  <si>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</si>
  <si>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</si>
  <si>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</si>
  <si>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</si>
  <si>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</si>
  <si>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</si>
  <si>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</si>
  <si>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</si>
  <si>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</si>
  <si>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</si>
  <si>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</si>
  <si>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</si>
  <si>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</si>
  <si>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</si>
  <si>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</si>
  <si>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</si>
  <si>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</si>
  <si>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</si>
  <si>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</si>
  <si>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</si>
  <si>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</si>
  <si>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</si>
  <si>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</si>
  <si>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</si>
  <si>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</si>
  <si>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</si>
  <si>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</si>
  <si>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</si>
  <si>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</si>
  <si>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</si>
  <si>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</si>
  <si>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</si>
  <si>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</si>
  <si>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</si>
  <si>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</si>
  <si>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</si>
  <si>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</si>
  <si>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</si>
  <si>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</si>
  <si>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</si>
  <si>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</si>
  <si>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</si>
  <si>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</si>
  <si>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</si>
  <si>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</si>
  <si>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</si>
  <si>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</si>
  <si>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</si>
  <si>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</si>
  <si>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</si>
  <si>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</si>
  <si>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</si>
  <si>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</si>
  <si>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</si>
  <si>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</si>
  <si>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</si>
  <si>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</si>
  <si>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</si>
  <si>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</si>
  <si>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</si>
  <si>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</si>
  <si>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</si>
  <si>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</si>
  <si>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</si>
  <si>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</si>
  <si>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</si>
  <si>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</si>
  <si>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</si>
  <si>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</si>
  <si>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</si>
  <si>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</si>
  <si>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</si>
  <si>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</si>
  <si>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</si>
  <si>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</si>
  <si>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</si>
  <si>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</si>
  <si>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</si>
  <si>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</si>
  <si>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</si>
  <si>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</si>
  <si>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</si>
  <si>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</si>
  <si>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</si>
  <si>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</si>
  <si>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</si>
  <si>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</si>
  <si>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</si>
  <si>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</si>
  <si>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#=SUMIF(H2:H40,"&gt;20")</t>
  </si>
  <si>
    <t>Text To columns</t>
  </si>
  <si>
    <t>select data&gt;text to cloumns  it convert into text columns&gt;select delimited&gt; select delimiter (-) dash&gt;select destination&gt;finish</t>
  </si>
  <si>
    <t>All 20 values must be substituted with the value '20'</t>
  </si>
  <si>
    <t>replace function &amp;sum</t>
  </si>
  <si>
    <t>select data&gt;replace&gt;find(#N/A) &amp; replace (20)&gt;replace all&gt;finish</t>
  </si>
  <si>
    <t>index &amp; match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</si>
</sst>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h:mm:ss;@"/>
    <numFmt numFmtId="165" formatCode="yyyy\-mm\-dd;@"/>
    <numFmt numFmtId="166" formatCode="dd/mm/yyyy"/>
    <numFmt numFmtId="167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B1" sqref="B1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40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172</v>
      </c>
    </row>
    <row r="9" spans="1:3" x14ac:dyDescent="0.2">
      <c r="A9" s="37" t="s">
        <v>170</v>
      </c>
      <c r="B9" s="26" t="s">
        <v>168</v>
      </c>
    </row>
    <row r="10" spans="1:3" x14ac:dyDescent="0.2">
      <c r="A10" s="36" t="s">
        <v>171</v>
      </c>
      <c r="B10" s="38">
        <v>25</v>
      </c>
    </row>
    <row r="11" spans="1:3" x14ac:dyDescent="0.2">
      <c r="A11" s="36" t="s">
        <v>55</v>
      </c>
      <c r="B11" s="38">
        <v>30</v>
      </c>
    </row>
    <row r="12" spans="1:3" x14ac:dyDescent="0.2">
      <c r="A12" s="36" t="s">
        <v>56</v>
      </c>
      <c r="B12" s="38">
        <v>10</v>
      </c>
    </row>
    <row r="13" spans="1:3" x14ac:dyDescent="0.2">
      <c r="A13" s="36" t="s">
        <v>85</v>
      </c>
      <c r="B13" s="38">
        <v>20</v>
      </c>
    </row>
    <row r="14" spans="1:3" x14ac:dyDescent="0.2">
      <c r="A14" s="36" t="s">
        <v>98</v>
      </c>
      <c r="B14" s="38">
        <v>40</v>
      </c>
    </row>
    <row r="15" spans="1:3" x14ac:dyDescent="0.2">
      <c r="A15" s="39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abSelected="1" topLeftCell="L1" zoomScaleNormal="100" workbookViewId="0">
      <pane ySplit="1" topLeftCell="A2" activePane="bottomLeft" state="frozen"/>
      <selection activeCell="K1" sqref="K1"/>
      <selection pane="bottomLeft" activeCell="Y4" sqref="Y4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A41" s="3" t="s">
        <v>159</v>
      </c>
      <c r="H41" s="1">
        <f>SUMIF(H2:H40,"&gt;20")</f>
        <v>1473.0000000000002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1">
    <cfRule type="cellIs" dxfId="3" priority="4" operator="equal">
      <formula>-1</formula>
    </cfRule>
    <cfRule type="cellIs" dxfId="2" priority="3" operator="equal">
      <formula>-1</formula>
    </cfRule>
  </conditionalFormatting>
  <conditionalFormatting sqref="A1:X40">
    <cfRule type="cellIs" dxfId="1" priority="2" operator="equal">
      <formula>-1</formula>
    </cfRule>
  </conditionalFormatting>
  <conditionalFormatting sqref="G14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5" t="s">
        <v>176</v>
      </c>
      <c r="D5" s="1">
        <v>1473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4" zoomScaleNormal="100" workbookViewId="0">
      <selection activeCell="B30" sqref="B30:F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2" customFormat="1" ht="21" x14ac:dyDescent="0.35">
      <c r="A1" s="43" t="s">
        <v>55</v>
      </c>
      <c r="B1" s="42" t="s">
        <v>164</v>
      </c>
    </row>
    <row r="2" spans="1:7" s="42" customFormat="1" ht="21" x14ac:dyDescent="0.35">
      <c r="B2" s="42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VLOOKUP(A6,Dataset!A1:X40,7,)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5" x14ac:dyDescent="0.25">
      <c r="A7" s="7" t="s">
        <v>4</v>
      </c>
      <c r="B7" s="12">
        <f>VLOOKUP(A7,Dataset!A2:X41,7,)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5" x14ac:dyDescent="0.25">
      <c r="A8" s="7" t="s">
        <v>7</v>
      </c>
      <c r="B8" s="12">
        <f>VLOOKUP(A8,Dataset!A3:X42,7,)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5" x14ac:dyDescent="0.25">
      <c r="A9" s="7" t="s">
        <v>8</v>
      </c>
      <c r="B9" s="12">
        <f>VLOOKUP(A9,Dataset!A4:X43,7,)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5" x14ac:dyDescent="0.25">
      <c r="A10" s="7" t="s">
        <v>11</v>
      </c>
      <c r="B10" s="12">
        <f>VLOOKUP(A10,Dataset!A5:X44,7,)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5" x14ac:dyDescent="0.25">
      <c r="A11" s="7" t="s">
        <v>12</v>
      </c>
      <c r="B11" s="12">
        <f>VLOOKUP(A11,Dataset!A6:X45,7,)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5" x14ac:dyDescent="0.25">
      <c r="A12" s="7" t="s">
        <v>14</v>
      </c>
      <c r="B12" s="12">
        <f>VLOOKUP(A12,Dataset!A7:X46,7,)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5" x14ac:dyDescent="0.25">
      <c r="A13" s="7" t="s">
        <v>15</v>
      </c>
      <c r="B13" s="12">
        <f>VLOOKUP(A13,Dataset!A8:X47,7,)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5" x14ac:dyDescent="0.25">
      <c r="A14" s="7" t="s">
        <v>16</v>
      </c>
      <c r="B14" s="12">
        <f>VLOOKUP(A14,Dataset!A9:X48,7,)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5" x14ac:dyDescent="0.25">
      <c r="A15" s="7" t="s">
        <v>18</v>
      </c>
      <c r="B15" s="12">
        <f>VLOOKUP(A15,Dataset!A10:X49,7,)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5" x14ac:dyDescent="0.25">
      <c r="A16" s="7" t="s">
        <v>20</v>
      </c>
      <c r="B16" s="12">
        <f>VLOOKUP(A16,Dataset!A11:X50,7,)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5" x14ac:dyDescent="0.25">
      <c r="A17" s="7" t="s">
        <v>22</v>
      </c>
      <c r="B17" s="12">
        <f>VLOOKUP(A17,Dataset!A12:X51,7,)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5" x14ac:dyDescent="0.25">
      <c r="A18" s="7" t="s">
        <v>23</v>
      </c>
      <c r="B18" s="12">
        <f>VLOOKUP(A18,Dataset!A13:X52,7,)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5" x14ac:dyDescent="0.25">
      <c r="A19" s="7" t="s">
        <v>24</v>
      </c>
      <c r="B19" s="12">
        <f>VLOOKUP(A19,Dataset!A14:X53,7,)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5" x14ac:dyDescent="0.25">
      <c r="A20" s="7" t="s">
        <v>28</v>
      </c>
      <c r="B20" s="12">
        <f>VLOOKUP(A20,Dataset!A15:X54,7,)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5" x14ac:dyDescent="0.25">
      <c r="A21" s="7" t="s">
        <v>57</v>
      </c>
      <c r="B21" s="12">
        <f>VLOOKUP(A21,Dataset!A16:X55,7,)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5" x14ac:dyDescent="0.25">
      <c r="A22" s="7" t="s">
        <v>58</v>
      </c>
      <c r="B22" s="12">
        <f>VLOOKUP(A22,Dataset!A17:X56,7,)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5" x14ac:dyDescent="0.25">
      <c r="A23" s="7" t="s">
        <v>31</v>
      </c>
      <c r="B23" s="12">
        <f>VLOOKUP(A23,Dataset!A18:X57,7,)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5" x14ac:dyDescent="0.25">
      <c r="A24" s="7" t="s">
        <v>32</v>
      </c>
      <c r="B24" s="12">
        <f>VLOOKUP(A24,Dataset!A19:X58,7,)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5" x14ac:dyDescent="0.25">
      <c r="A25" s="7" t="s">
        <v>34</v>
      </c>
      <c r="B25" s="12">
        <f>VLOOKUP(A25,Dataset!A20:X59,7,)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5" x14ac:dyDescent="0.25">
      <c r="A26" s="7" t="s">
        <v>37</v>
      </c>
      <c r="B26" s="12">
        <f>VLOOKUP(A26,Dataset!A21:X60,7,)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5" x14ac:dyDescent="0.25">
      <c r="A27" s="7" t="s">
        <v>39</v>
      </c>
      <c r="B27" s="12">
        <f>VLOOKUP(A27,Dataset!A22:X61,7,)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5" x14ac:dyDescent="0.25">
      <c r="A28" s="19" t="s">
        <v>82</v>
      </c>
      <c r="B28" s="32">
        <f>MIN(B6:B27)</f>
        <v>-1</v>
      </c>
      <c r="C28" s="32">
        <f t="shared" ref="C28:F28" si="0">MIN(C6:C27)</f>
        <v>-1</v>
      </c>
      <c r="D28" s="32">
        <f t="shared" si="0"/>
        <v>-1</v>
      </c>
      <c r="E28" s="32">
        <f t="shared" si="0"/>
        <v>-1</v>
      </c>
      <c r="F28" s="32">
        <f t="shared" si="0"/>
        <v>-1</v>
      </c>
    </row>
    <row r="29" spans="1:6" ht="15" x14ac:dyDescent="0.25">
      <c r="A29" s="19" t="s">
        <v>83</v>
      </c>
      <c r="B29" s="32">
        <f>MAX(B6:B27)</f>
        <v>51.8</v>
      </c>
      <c r="C29" s="32">
        <f t="shared" ref="C29:F29" si="1">MAX(C6:C27)</f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</row>
    <row r="30" spans="1:6" ht="15" x14ac:dyDescent="0.25">
      <c r="A30" s="19" t="s">
        <v>84</v>
      </c>
      <c r="B30" s="32">
        <f>AVERAGE(B6:B27)</f>
        <v>20.827272727272728</v>
      </c>
      <c r="C30" s="32">
        <f t="shared" ref="C30:F30" si="2">AVERAGE(C6:C27)</f>
        <v>62.377272727272725</v>
      </c>
      <c r="D30" s="32">
        <f t="shared" si="2"/>
        <v>37.800000000000004</v>
      </c>
      <c r="E30" s="32">
        <f t="shared" si="2"/>
        <v>76.418181818181822</v>
      </c>
      <c r="F30" s="3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5"/>
  <sheetViews>
    <sheetView topLeftCell="A17" zoomScaleNormal="100" workbookViewId="0">
      <selection activeCell="N10" sqref="N10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2" customFormat="1" ht="21" x14ac:dyDescent="0.35">
      <c r="A1" s="43" t="s">
        <v>56</v>
      </c>
      <c r="B1" s="42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4" t="s">
        <v>53</v>
      </c>
      <c r="B5" s="41" t="s">
        <v>177</v>
      </c>
    </row>
    <row r="6" spans="1:10" ht="18.75" x14ac:dyDescent="0.3">
      <c r="A6" s="44" t="s">
        <v>153</v>
      </c>
      <c r="B6" s="41" t="s">
        <v>178</v>
      </c>
    </row>
    <row r="7" spans="1:10" ht="18.75" x14ac:dyDescent="0.3">
      <c r="A7" s="44"/>
      <c r="B7" s="41"/>
    </row>
    <row r="9" spans="1:10" ht="23.25" x14ac:dyDescent="0.35">
      <c r="A9" s="18" t="s">
        <v>165</v>
      </c>
      <c r="I9" s="2"/>
      <c r="J9" s="2"/>
    </row>
    <row r="10" spans="1:10" x14ac:dyDescent="0.2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  <row r="55" spans="1:6" x14ac:dyDescent="0.25">
      <c r="B55" s="1">
        <v>21016</v>
      </c>
      <c r="C55" s="1" t="s">
        <v>5</v>
      </c>
      <c r="D55" s="1">
        <v>0</v>
      </c>
      <c r="E55" s="1" t="s">
        <v>6</v>
      </c>
      <c r="F55" s="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3" t="s">
        <v>85</v>
      </c>
      <c r="B1" s="42" t="s">
        <v>166</v>
      </c>
    </row>
    <row r="2" spans="1:3" ht="18.75" x14ac:dyDescent="0.3">
      <c r="B2" s="41" t="s">
        <v>179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153</v>
      </c>
      <c r="B7" s="1" t="s">
        <v>181</v>
      </c>
    </row>
    <row r="10" spans="1:3" ht="23.25" x14ac:dyDescent="0.35">
      <c r="A10" s="18" t="s">
        <v>162</v>
      </c>
    </row>
    <row r="11" spans="1:3" ht="15" x14ac:dyDescent="0.25">
      <c r="A11" s="33" t="s">
        <v>86</v>
      </c>
      <c r="B11" s="17" t="s">
        <v>87</v>
      </c>
      <c r="C11" s="17" t="s">
        <v>88</v>
      </c>
    </row>
    <row r="12" spans="1:3" ht="15" x14ac:dyDescent="0.25">
      <c r="A12" s="33">
        <v>44927</v>
      </c>
      <c r="B12" s="17" t="s">
        <v>59</v>
      </c>
      <c r="C12" s="17">
        <v>200</v>
      </c>
    </row>
    <row r="13" spans="1:3" ht="15" x14ac:dyDescent="0.25">
      <c r="A13" s="33">
        <v>44928</v>
      </c>
      <c r="B13" s="17" t="s">
        <v>60</v>
      </c>
      <c r="C13" s="17">
        <v>20</v>
      </c>
    </row>
    <row r="14" spans="1:3" ht="15" x14ac:dyDescent="0.25">
      <c r="A14" s="33">
        <v>44929</v>
      </c>
      <c r="B14" s="17" t="s">
        <v>61</v>
      </c>
      <c r="C14" s="17">
        <v>50</v>
      </c>
    </row>
    <row r="15" spans="1:3" ht="15" x14ac:dyDescent="0.25">
      <c r="A15" s="33">
        <v>44930</v>
      </c>
      <c r="B15" s="17" t="s">
        <v>62</v>
      </c>
      <c r="C15" s="17">
        <v>20</v>
      </c>
    </row>
    <row r="16" spans="1:3" ht="15" x14ac:dyDescent="0.25">
      <c r="A16" s="33">
        <v>44931</v>
      </c>
      <c r="B16" s="17" t="s">
        <v>63</v>
      </c>
      <c r="C16" s="17">
        <v>10</v>
      </c>
    </row>
    <row r="17" spans="1:3" ht="15" x14ac:dyDescent="0.25">
      <c r="A17" s="33">
        <v>44932</v>
      </c>
      <c r="B17" s="17" t="s">
        <v>154</v>
      </c>
      <c r="C17" s="17">
        <v>150</v>
      </c>
    </row>
    <row r="18" spans="1:3" ht="15" x14ac:dyDescent="0.25">
      <c r="A18" s="33">
        <v>44933</v>
      </c>
      <c r="B18" s="17" t="s">
        <v>155</v>
      </c>
      <c r="C18" s="17">
        <v>80</v>
      </c>
    </row>
    <row r="19" spans="1:3" ht="15" x14ac:dyDescent="0.25">
      <c r="A19" s="33">
        <v>44934</v>
      </c>
      <c r="B19" s="17" t="s">
        <v>156</v>
      </c>
      <c r="C19" s="17">
        <v>20</v>
      </c>
    </row>
    <row r="20" spans="1:3" ht="15" x14ac:dyDescent="0.25">
      <c r="A20" s="33">
        <v>44935</v>
      </c>
      <c r="B20" s="17" t="s">
        <v>157</v>
      </c>
      <c r="C20" s="17">
        <v>30</v>
      </c>
    </row>
    <row r="21" spans="1:3" ht="15" x14ac:dyDescent="0.25">
      <c r="A21" s="33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C5" sqref="C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3" t="s">
        <v>98</v>
      </c>
      <c r="B1" s="42" t="s">
        <v>174</v>
      </c>
    </row>
    <row r="3" spans="1:14" ht="15" x14ac:dyDescent="0.25">
      <c r="B3" s="1" t="s">
        <v>151</v>
      </c>
    </row>
    <row r="4" spans="1:14" ht="18.75" x14ac:dyDescent="0.3">
      <c r="A4" s="44" t="s">
        <v>53</v>
      </c>
      <c r="B4" s="1"/>
      <c r="C4" s="2" t="s">
        <v>182</v>
      </c>
    </row>
    <row r="5" spans="1:14" ht="18.75" x14ac:dyDescent="0.3">
      <c r="A5" s="44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5">
        <v>95</v>
      </c>
    </row>
    <row r="24" spans="1:14" ht="15" x14ac:dyDescent="0.25">
      <c r="A24" s="7">
        <v>10100</v>
      </c>
      <c r="B24" s="12">
        <v>10104</v>
      </c>
      <c r="C24" s="45">
        <v>-1</v>
      </c>
    </row>
    <row r="25" spans="1:14" ht="15" x14ac:dyDescent="0.25">
      <c r="A25" s="7">
        <v>10108</v>
      </c>
      <c r="B25" s="12">
        <v>10102</v>
      </c>
      <c r="C25" s="45">
        <v>160</v>
      </c>
    </row>
    <row r="26" spans="1:14" ht="15" x14ac:dyDescent="0.25">
      <c r="A26" s="7">
        <v>10100</v>
      </c>
      <c r="B26" s="12">
        <v>10106</v>
      </c>
      <c r="C26" s="45">
        <v>185</v>
      </c>
    </row>
    <row r="27" spans="1:14" ht="15" x14ac:dyDescent="0.25">
      <c r="A27" s="7">
        <v>10108</v>
      </c>
      <c r="B27" s="12">
        <v>10110</v>
      </c>
      <c r="C27" s="45">
        <v>50</v>
      </c>
    </row>
    <row r="28" spans="1:14" ht="15" x14ac:dyDescent="0.25">
      <c r="A28" s="7">
        <v>10102</v>
      </c>
      <c r="B28" s="12">
        <v>10104</v>
      </c>
      <c r="C28" s="45">
        <v>-1</v>
      </c>
    </row>
    <row r="29" spans="1:14" ht="15" x14ac:dyDescent="0.25">
      <c r="A29" s="7">
        <v>10106</v>
      </c>
      <c r="B29" s="12">
        <v>10108</v>
      </c>
      <c r="C29" s="45">
        <v>70</v>
      </c>
    </row>
    <row r="30" spans="1:14" ht="15" x14ac:dyDescent="0.25">
      <c r="A30" s="7">
        <v>10102</v>
      </c>
      <c r="B30" s="12">
        <v>10106</v>
      </c>
      <c r="C30" s="45">
        <v>90</v>
      </c>
    </row>
    <row r="31" spans="1:14" ht="15" x14ac:dyDescent="0.25">
      <c r="A31" s="7">
        <v>10110</v>
      </c>
      <c r="B31" s="12">
        <v>10114</v>
      </c>
      <c r="C31" s="45">
        <v>180</v>
      </c>
    </row>
    <row r="32" spans="1:14" ht="15" x14ac:dyDescent="0.25">
      <c r="A32" s="7">
        <v>10104</v>
      </c>
      <c r="B32" s="12">
        <v>10106</v>
      </c>
      <c r="C32" s="45">
        <v>60</v>
      </c>
    </row>
    <row r="33" spans="1:3" ht="15" x14ac:dyDescent="0.25">
      <c r="A33" s="7">
        <v>10110</v>
      </c>
      <c r="B33" s="12">
        <v>10112</v>
      </c>
      <c r="C33" s="45">
        <v>115</v>
      </c>
    </row>
    <row r="34" spans="1:3" ht="15" x14ac:dyDescent="0.25">
      <c r="A34" s="7">
        <v>10100</v>
      </c>
      <c r="B34" s="12">
        <v>10114</v>
      </c>
      <c r="C34" s="45">
        <v>480</v>
      </c>
    </row>
    <row r="35" spans="1:3" ht="15" x14ac:dyDescent="0.25">
      <c r="A35" s="9">
        <v>10112</v>
      </c>
      <c r="B35" s="13">
        <v>10116</v>
      </c>
      <c r="C35" s="46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karan</cp:lastModifiedBy>
  <dcterms:created xsi:type="dcterms:W3CDTF">2015-02-10T17:33:11Z</dcterms:created>
  <dcterms:modified xsi:type="dcterms:W3CDTF">2023-12-10T10:39:10Z</dcterms:modified>
</cp:coreProperties>
</file>